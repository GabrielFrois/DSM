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-48\Downloads\"/>
    </mc:Choice>
  </mc:AlternateContent>
  <xr:revisionPtr revIDLastSave="0" documentId="13_ncr:1_{40764211-8573-4903-926C-8A84A2211F8F}" xr6:coauthVersionLast="36" xr6:coauthVersionMax="36" xr10:uidLastSave="{00000000-0000-0000-0000-000000000000}"/>
  <bookViews>
    <workbookView xWindow="0" yWindow="0" windowWidth="28800" windowHeight="12105" xr2:uid="{015719D7-D264-4FE3-8953-1C3690825F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4" i="1" l="1"/>
  <c r="C31" i="1"/>
  <c r="C10" i="1"/>
  <c r="E44" i="1"/>
  <c r="E72" i="1"/>
  <c r="E62" i="1"/>
  <c r="E42" i="1"/>
  <c r="E71" i="1"/>
  <c r="E70" i="1"/>
  <c r="E69" i="1"/>
  <c r="E68" i="1"/>
  <c r="E67" i="1"/>
  <c r="E66" i="1"/>
  <c r="E47" i="1"/>
  <c r="E45" i="1"/>
  <c r="E43" i="1"/>
  <c r="E41" i="1"/>
  <c r="E40" i="1"/>
  <c r="E39" i="1"/>
  <c r="E38" i="1"/>
  <c r="E73" i="1" s="1"/>
  <c r="E37" i="1"/>
  <c r="C73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C30" i="1"/>
  <c r="F4" i="1"/>
  <c r="F5" i="1" s="1"/>
  <c r="F6" i="1" s="1"/>
  <c r="F7" i="1" s="1"/>
  <c r="F8" i="1" s="1"/>
  <c r="E8" i="1"/>
  <c r="E7" i="1"/>
  <c r="E6" i="1"/>
  <c r="E5" i="1"/>
  <c r="E4" i="1"/>
  <c r="E3" i="1"/>
  <c r="C9" i="1"/>
  <c r="E9" i="1" l="1"/>
  <c r="E30" i="1"/>
</calcChain>
</file>

<file path=xl/sharedStrings.xml><?xml version="1.0" encoding="utf-8"?>
<sst xmlns="http://schemas.openxmlformats.org/spreadsheetml/2006/main" count="35" uniqueCount="17">
  <si>
    <t>Dados</t>
  </si>
  <si>
    <t>Fi</t>
  </si>
  <si>
    <t>Fa</t>
  </si>
  <si>
    <t>Fr (%)</t>
  </si>
  <si>
    <t>Fra (%)</t>
  </si>
  <si>
    <t>Somas</t>
  </si>
  <si>
    <t>Exercício 1:</t>
  </si>
  <si>
    <t>Exercício 2:</t>
  </si>
  <si>
    <t>Exercício 3:</t>
  </si>
  <si>
    <t>Fi = Frequência</t>
  </si>
  <si>
    <t>Fa = Frequência Acumulada</t>
  </si>
  <si>
    <t>Fr = Frequência Relativa</t>
  </si>
  <si>
    <t>Fra = Frequência Relativa Acumulada</t>
  </si>
  <si>
    <t>Mediana</t>
  </si>
  <si>
    <t>Moda</t>
  </si>
  <si>
    <t>Média</t>
  </si>
  <si>
    <t>141, 142, 146, 150, 151, 160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</si>
</sst>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CD1B-BA0C-4847-A124-6188758C793B}">
  <dimension ref="A1:H76"/>
  <sheetViews>
    <sheetView tabSelected="1" workbookViewId="0">
      <selection activeCell="F78" sqref="F78"/>
    </sheetView>
  </sheetViews>
  <sheetFormatPr defaultRowHeight="15" x14ac:dyDescent="0.25"/>
  <cols>
    <col min="1" max="1" width="10.7109375" bestFit="1" customWidth="1"/>
    <col min="8" max="8" width="34.140625" bestFit="1" customWidth="1"/>
  </cols>
  <sheetData>
    <row r="1" spans="1:8" x14ac:dyDescent="0.25">
      <c r="A1" t="s">
        <v>6</v>
      </c>
    </row>
    <row r="2" spans="1:8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H2" t="s">
        <v>9</v>
      </c>
    </row>
    <row r="3" spans="1:8" x14ac:dyDescent="0.25">
      <c r="B3" s="1">
        <v>1</v>
      </c>
      <c r="C3" s="1">
        <v>10</v>
      </c>
      <c r="D3" s="1">
        <v>10</v>
      </c>
      <c r="E3" s="1">
        <f>10/50*100</f>
        <v>20</v>
      </c>
      <c r="F3" s="1">
        <v>20</v>
      </c>
      <c r="H3" t="s">
        <v>10</v>
      </c>
    </row>
    <row r="4" spans="1:8" x14ac:dyDescent="0.25">
      <c r="B4" s="1">
        <v>2</v>
      </c>
      <c r="C4" s="1">
        <v>9</v>
      </c>
      <c r="D4" s="1">
        <v>19</v>
      </c>
      <c r="E4" s="1">
        <f>9/50*100</f>
        <v>18</v>
      </c>
      <c r="F4" s="1">
        <f>SUM(F3+E4)</f>
        <v>38</v>
      </c>
      <c r="H4" t="s">
        <v>11</v>
      </c>
    </row>
    <row r="5" spans="1:8" x14ac:dyDescent="0.25">
      <c r="B5" s="1">
        <v>3</v>
      </c>
      <c r="C5" s="1">
        <v>8</v>
      </c>
      <c r="D5" s="1">
        <v>27</v>
      </c>
      <c r="E5" s="1">
        <f>8/50*100</f>
        <v>16</v>
      </c>
      <c r="F5" s="1">
        <f>SUM(F4+E5)</f>
        <v>54</v>
      </c>
      <c r="H5" t="s">
        <v>12</v>
      </c>
    </row>
    <row r="6" spans="1:8" x14ac:dyDescent="0.25">
      <c r="B6" s="1">
        <v>4</v>
      </c>
      <c r="C6" s="1">
        <v>9</v>
      </c>
      <c r="D6" s="1">
        <v>36</v>
      </c>
      <c r="E6" s="1">
        <f>9/50*100</f>
        <v>18</v>
      </c>
      <c r="F6" s="1">
        <f>SUM(F5+E6)</f>
        <v>72</v>
      </c>
    </row>
    <row r="7" spans="1:8" x14ac:dyDescent="0.25">
      <c r="B7" s="1">
        <v>5</v>
      </c>
      <c r="C7" s="1">
        <v>6</v>
      </c>
      <c r="D7" s="1">
        <v>42</v>
      </c>
      <c r="E7" s="1">
        <f>6/50*100</f>
        <v>12</v>
      </c>
      <c r="F7" s="1">
        <f>SUM(F6+E7)</f>
        <v>84</v>
      </c>
    </row>
    <row r="8" spans="1:8" x14ac:dyDescent="0.25">
      <c r="B8" s="1">
        <v>6</v>
      </c>
      <c r="C8" s="1">
        <v>8</v>
      </c>
      <c r="D8" s="1">
        <v>50</v>
      </c>
      <c r="E8" s="2">
        <f xml:space="preserve"> 8/50*100</f>
        <v>16</v>
      </c>
      <c r="F8" s="1">
        <f>SUM(F7+E8)</f>
        <v>100</v>
      </c>
    </row>
    <row r="9" spans="1:8" x14ac:dyDescent="0.25">
      <c r="B9" s="1" t="s">
        <v>5</v>
      </c>
      <c r="C9" s="1">
        <f>SUM(C3:C8)</f>
        <v>50</v>
      </c>
      <c r="D9" s="3"/>
      <c r="E9" s="1">
        <f>SUM(E3:E8)</f>
        <v>100</v>
      </c>
      <c r="F9" s="4"/>
    </row>
    <row r="10" spans="1:8" x14ac:dyDescent="0.25">
      <c r="B10" s="1" t="s">
        <v>15</v>
      </c>
      <c r="C10" s="1">
        <f>((1*10)+(2*9)+(3*8)+(4*9)+(5*6))/50</f>
        <v>2.36</v>
      </c>
    </row>
    <row r="11" spans="1:8" x14ac:dyDescent="0.25">
      <c r="B11" s="1" t="s">
        <v>13</v>
      </c>
      <c r="C11" s="1">
        <v>3</v>
      </c>
    </row>
    <row r="12" spans="1:8" x14ac:dyDescent="0.25">
      <c r="B12" s="1" t="s">
        <v>14</v>
      </c>
      <c r="C12" s="1">
        <v>1</v>
      </c>
    </row>
    <row r="14" spans="1:8" x14ac:dyDescent="0.25">
      <c r="A14" t="s">
        <v>7</v>
      </c>
    </row>
    <row r="15" spans="1:8" x14ac:dyDescent="0.25"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</row>
    <row r="16" spans="1:8" x14ac:dyDescent="0.25">
      <c r="B16" s="1">
        <v>141</v>
      </c>
      <c r="C16" s="1">
        <v>2</v>
      </c>
      <c r="D16" s="1">
        <v>2</v>
      </c>
      <c r="E16" s="1">
        <f>2/20*100</f>
        <v>10</v>
      </c>
      <c r="F16" s="1">
        <v>10</v>
      </c>
    </row>
    <row r="17" spans="2:6" x14ac:dyDescent="0.25">
      <c r="B17" s="1">
        <v>142</v>
      </c>
      <c r="C17" s="1">
        <v>2</v>
      </c>
      <c r="D17" s="1">
        <v>4</v>
      </c>
      <c r="E17" s="1">
        <f>2/20*100</f>
        <v>10</v>
      </c>
      <c r="F17" s="1">
        <v>20</v>
      </c>
    </row>
    <row r="18" spans="2:6" x14ac:dyDescent="0.25">
      <c r="B18" s="1">
        <v>143</v>
      </c>
      <c r="C18" s="1">
        <v>1</v>
      </c>
      <c r="D18" s="1">
        <v>5</v>
      </c>
      <c r="E18" s="1">
        <f>1/20*100</f>
        <v>5</v>
      </c>
      <c r="F18" s="1">
        <v>25</v>
      </c>
    </row>
    <row r="19" spans="2:6" x14ac:dyDescent="0.25">
      <c r="B19" s="1">
        <v>144</v>
      </c>
      <c r="C19" s="1">
        <v>1</v>
      </c>
      <c r="D19" s="1">
        <v>6</v>
      </c>
      <c r="E19" s="1">
        <f>1/20*100</f>
        <v>5</v>
      </c>
      <c r="F19" s="1">
        <v>30</v>
      </c>
    </row>
    <row r="20" spans="2:6" x14ac:dyDescent="0.25">
      <c r="B20" s="1">
        <v>145</v>
      </c>
      <c r="C20" s="1">
        <v>1</v>
      </c>
      <c r="D20" s="1">
        <v>7</v>
      </c>
      <c r="E20" s="1">
        <f>1/20*100</f>
        <v>5</v>
      </c>
      <c r="F20" s="1">
        <v>35</v>
      </c>
    </row>
    <row r="21" spans="2:6" x14ac:dyDescent="0.25">
      <c r="B21" s="1">
        <v>146</v>
      </c>
      <c r="C21" s="1">
        <v>2</v>
      </c>
      <c r="D21" s="1">
        <v>9</v>
      </c>
      <c r="E21" s="1">
        <f>2/20*100</f>
        <v>10</v>
      </c>
      <c r="F21" s="1">
        <v>45</v>
      </c>
    </row>
    <row r="22" spans="2:6" x14ac:dyDescent="0.25">
      <c r="B22" s="1">
        <v>150</v>
      </c>
      <c r="C22" s="1">
        <v>2</v>
      </c>
      <c r="D22" s="1">
        <v>11</v>
      </c>
      <c r="E22" s="1">
        <f>2/20*100</f>
        <v>10</v>
      </c>
      <c r="F22" s="1">
        <v>55</v>
      </c>
    </row>
    <row r="23" spans="2:6" x14ac:dyDescent="0.25">
      <c r="B23" s="1">
        <v>151</v>
      </c>
      <c r="C23" s="1">
        <v>2</v>
      </c>
      <c r="D23" s="1">
        <v>13</v>
      </c>
      <c r="E23" s="1">
        <f>2/20*100</f>
        <v>10</v>
      </c>
      <c r="F23" s="1">
        <v>65</v>
      </c>
    </row>
    <row r="24" spans="2:6" x14ac:dyDescent="0.25">
      <c r="B24" s="1">
        <v>152</v>
      </c>
      <c r="C24" s="1">
        <v>1</v>
      </c>
      <c r="D24" s="1">
        <v>14</v>
      </c>
      <c r="E24" s="1">
        <f>1/20*100</f>
        <v>5</v>
      </c>
      <c r="F24" s="1">
        <v>70</v>
      </c>
    </row>
    <row r="25" spans="2:6" x14ac:dyDescent="0.25">
      <c r="B25" s="1">
        <v>154</v>
      </c>
      <c r="C25" s="1">
        <v>1</v>
      </c>
      <c r="D25" s="1">
        <v>15</v>
      </c>
      <c r="E25" s="1">
        <f>1/20*100</f>
        <v>5</v>
      </c>
      <c r="F25" s="1">
        <v>75</v>
      </c>
    </row>
    <row r="26" spans="2:6" x14ac:dyDescent="0.25">
      <c r="B26" s="1">
        <v>157</v>
      </c>
      <c r="C26" s="1">
        <v>1</v>
      </c>
      <c r="D26" s="1">
        <v>16</v>
      </c>
      <c r="E26" s="1">
        <f>1/20*100</f>
        <v>5</v>
      </c>
      <c r="F26" s="1">
        <v>80</v>
      </c>
    </row>
    <row r="27" spans="2:6" x14ac:dyDescent="0.25">
      <c r="B27" s="1">
        <v>158</v>
      </c>
      <c r="C27" s="1">
        <v>1</v>
      </c>
      <c r="D27" s="1">
        <v>17</v>
      </c>
      <c r="E27" s="1">
        <f>1/20*100</f>
        <v>5</v>
      </c>
      <c r="F27" s="1">
        <v>85</v>
      </c>
    </row>
    <row r="28" spans="2:6" x14ac:dyDescent="0.25">
      <c r="B28" s="1">
        <v>159</v>
      </c>
      <c r="C28" s="1">
        <v>1</v>
      </c>
      <c r="D28" s="1">
        <v>18</v>
      </c>
      <c r="E28" s="1">
        <f>1/20*100</f>
        <v>5</v>
      </c>
      <c r="F28" s="1">
        <v>90</v>
      </c>
    </row>
    <row r="29" spans="2:6" x14ac:dyDescent="0.25">
      <c r="B29" s="1">
        <v>160</v>
      </c>
      <c r="C29" s="1">
        <v>2</v>
      </c>
      <c r="D29" s="1">
        <v>20</v>
      </c>
      <c r="E29" s="1">
        <f>2/20*100</f>
        <v>10</v>
      </c>
      <c r="F29" s="1">
        <v>100</v>
      </c>
    </row>
    <row r="30" spans="2:6" x14ac:dyDescent="0.25">
      <c r="B30" s="1" t="s">
        <v>5</v>
      </c>
      <c r="C30" s="1">
        <f>SUM(C16:C29)</f>
        <v>20</v>
      </c>
      <c r="D30" s="3"/>
      <c r="E30" s="1">
        <f>SUM(E16:E29)</f>
        <v>100</v>
      </c>
      <c r="F30" s="4"/>
    </row>
    <row r="31" spans="2:6" x14ac:dyDescent="0.25">
      <c r="B31" s="1" t="s">
        <v>15</v>
      </c>
      <c r="C31" s="1">
        <f>SUM((141*2)+(142*2)+(143)+(144)+(145)+(146*2)+(150*2)+(151*2)+(152)+(154)+(157)+(158)+(159)+(160*2))/20</f>
        <v>149.6</v>
      </c>
    </row>
    <row r="32" spans="2:6" x14ac:dyDescent="0.25">
      <c r="B32" s="1" t="s">
        <v>13</v>
      </c>
      <c r="C32" s="3">
        <v>150</v>
      </c>
    </row>
    <row r="33" spans="1:6" x14ac:dyDescent="0.25">
      <c r="B33" s="1" t="s">
        <v>14</v>
      </c>
      <c r="C33" s="5" t="s">
        <v>16</v>
      </c>
      <c r="D33" s="5"/>
      <c r="E33" s="5"/>
    </row>
    <row r="35" spans="1:6" x14ac:dyDescent="0.25">
      <c r="A35" t="s">
        <v>8</v>
      </c>
    </row>
    <row r="36" spans="1:6" x14ac:dyDescent="0.25">
      <c r="B36" s="1" t="s">
        <v>0</v>
      </c>
      <c r="C36" s="1" t="s">
        <v>1</v>
      </c>
      <c r="D36" s="1" t="s">
        <v>2</v>
      </c>
      <c r="E36" s="1" t="s">
        <v>3</v>
      </c>
      <c r="F36" s="1" t="s">
        <v>4</v>
      </c>
    </row>
    <row r="37" spans="1:6" x14ac:dyDescent="0.25">
      <c r="B37" s="1">
        <v>151</v>
      </c>
      <c r="C37" s="1">
        <v>1</v>
      </c>
      <c r="D37" s="1">
        <v>1</v>
      </c>
      <c r="E37" s="1">
        <f>1/100*100</f>
        <v>1</v>
      </c>
      <c r="F37" s="1">
        <v>1</v>
      </c>
    </row>
    <row r="38" spans="1:6" x14ac:dyDescent="0.25">
      <c r="B38" s="1">
        <v>152</v>
      </c>
      <c r="C38" s="1">
        <v>1</v>
      </c>
      <c r="D38" s="1">
        <v>2</v>
      </c>
      <c r="E38" s="1">
        <f>1/100*100</f>
        <v>1</v>
      </c>
      <c r="F38" s="1">
        <v>2</v>
      </c>
    </row>
    <row r="39" spans="1:6" x14ac:dyDescent="0.25">
      <c r="B39" s="1">
        <v>154</v>
      </c>
      <c r="C39" s="1">
        <v>1</v>
      </c>
      <c r="D39" s="1">
        <v>3</v>
      </c>
      <c r="E39" s="1">
        <f>1/100*100</f>
        <v>1</v>
      </c>
      <c r="F39" s="1">
        <v>3</v>
      </c>
    </row>
    <row r="40" spans="1:6" x14ac:dyDescent="0.25">
      <c r="B40" s="1">
        <v>155</v>
      </c>
      <c r="C40" s="1">
        <v>1</v>
      </c>
      <c r="D40" s="1">
        <v>4</v>
      </c>
      <c r="E40" s="1">
        <f>1/100*100</f>
        <v>1</v>
      </c>
      <c r="F40" s="1">
        <v>4</v>
      </c>
    </row>
    <row r="41" spans="1:6" x14ac:dyDescent="0.25">
      <c r="B41" s="1">
        <v>158</v>
      </c>
      <c r="C41" s="1">
        <v>1</v>
      </c>
      <c r="D41" s="1">
        <v>5</v>
      </c>
      <c r="E41" s="1">
        <f>1/100*100</f>
        <v>1</v>
      </c>
      <c r="F41" s="1">
        <v>5</v>
      </c>
    </row>
    <row r="42" spans="1:6" x14ac:dyDescent="0.25">
      <c r="B42" s="1">
        <v>159</v>
      </c>
      <c r="C42" s="1">
        <v>2</v>
      </c>
      <c r="D42" s="1">
        <v>7</v>
      </c>
      <c r="E42" s="1">
        <f>2/100*100</f>
        <v>2</v>
      </c>
      <c r="F42" s="1">
        <v>7</v>
      </c>
    </row>
    <row r="43" spans="1:6" x14ac:dyDescent="0.25">
      <c r="B43" s="1">
        <v>160</v>
      </c>
      <c r="C43" s="1">
        <v>1</v>
      </c>
      <c r="D43" s="1">
        <v>8</v>
      </c>
      <c r="E43" s="1">
        <f>1/100*100</f>
        <v>1</v>
      </c>
      <c r="F43" s="1">
        <v>8</v>
      </c>
    </row>
    <row r="44" spans="1:6" x14ac:dyDescent="0.25">
      <c r="B44" s="1">
        <v>161</v>
      </c>
      <c r="C44" s="1">
        <v>3</v>
      </c>
      <c r="D44" s="1">
        <v>11</v>
      </c>
      <c r="E44" s="1">
        <f>3/100*100</f>
        <v>3</v>
      </c>
      <c r="F44" s="1">
        <v>11</v>
      </c>
    </row>
    <row r="45" spans="1:6" x14ac:dyDescent="0.25">
      <c r="B45" s="1">
        <v>162</v>
      </c>
      <c r="C45" s="1">
        <v>1</v>
      </c>
      <c r="D45" s="1">
        <v>12</v>
      </c>
      <c r="E45" s="1">
        <f>1/100*100</f>
        <v>1</v>
      </c>
      <c r="F45" s="1">
        <v>12</v>
      </c>
    </row>
    <row r="46" spans="1:6" x14ac:dyDescent="0.25">
      <c r="B46" s="1">
        <v>163</v>
      </c>
      <c r="C46" s="1">
        <v>3</v>
      </c>
      <c r="D46" s="1">
        <v>15</v>
      </c>
      <c r="E46" s="1">
        <v>3</v>
      </c>
      <c r="F46" s="1">
        <v>15</v>
      </c>
    </row>
    <row r="47" spans="1:6" x14ac:dyDescent="0.25">
      <c r="B47" s="1">
        <v>164</v>
      </c>
      <c r="C47" s="1">
        <v>1</v>
      </c>
      <c r="D47" s="1">
        <v>16</v>
      </c>
      <c r="E47" s="1">
        <f>1/100*100</f>
        <v>1</v>
      </c>
      <c r="F47" s="1">
        <v>16</v>
      </c>
    </row>
    <row r="48" spans="1:6" x14ac:dyDescent="0.25">
      <c r="B48" s="1">
        <v>165</v>
      </c>
      <c r="C48" s="1">
        <v>3</v>
      </c>
      <c r="D48" s="1">
        <v>19</v>
      </c>
      <c r="E48" s="1">
        <v>3</v>
      </c>
      <c r="F48" s="1">
        <v>19</v>
      </c>
    </row>
    <row r="49" spans="2:6" x14ac:dyDescent="0.25">
      <c r="B49" s="1">
        <v>166</v>
      </c>
      <c r="C49" s="1">
        <v>4</v>
      </c>
      <c r="D49" s="1">
        <v>23</v>
      </c>
      <c r="E49" s="1">
        <v>4</v>
      </c>
      <c r="F49" s="1">
        <v>23</v>
      </c>
    </row>
    <row r="50" spans="2:6" x14ac:dyDescent="0.25">
      <c r="B50" s="1">
        <v>167</v>
      </c>
      <c r="C50" s="1">
        <v>5</v>
      </c>
      <c r="D50" s="1">
        <v>28</v>
      </c>
      <c r="E50" s="1">
        <v>5</v>
      </c>
      <c r="F50" s="1">
        <v>28</v>
      </c>
    </row>
    <row r="51" spans="2:6" x14ac:dyDescent="0.25">
      <c r="B51" s="1">
        <v>168</v>
      </c>
      <c r="C51" s="1">
        <v>10</v>
      </c>
      <c r="D51" s="1">
        <v>38</v>
      </c>
      <c r="E51" s="1">
        <v>10</v>
      </c>
      <c r="F51" s="1">
        <v>38</v>
      </c>
    </row>
    <row r="52" spans="2:6" x14ac:dyDescent="0.25">
      <c r="B52" s="1">
        <v>169</v>
      </c>
      <c r="C52" s="1">
        <v>7</v>
      </c>
      <c r="D52" s="1">
        <v>45</v>
      </c>
      <c r="E52" s="1">
        <v>7</v>
      </c>
      <c r="F52" s="1">
        <v>45</v>
      </c>
    </row>
    <row r="53" spans="2:6" x14ac:dyDescent="0.25">
      <c r="B53" s="1">
        <v>170</v>
      </c>
      <c r="C53" s="1">
        <v>7</v>
      </c>
      <c r="D53" s="1">
        <v>52</v>
      </c>
      <c r="E53" s="1">
        <v>7</v>
      </c>
      <c r="F53" s="1">
        <v>52</v>
      </c>
    </row>
    <row r="54" spans="2:6" x14ac:dyDescent="0.25">
      <c r="B54" s="1">
        <v>171</v>
      </c>
      <c r="C54" s="1">
        <v>4</v>
      </c>
      <c r="D54" s="1">
        <v>56</v>
      </c>
      <c r="E54" s="1">
        <v>4</v>
      </c>
      <c r="F54" s="1">
        <v>56</v>
      </c>
    </row>
    <row r="55" spans="2:6" x14ac:dyDescent="0.25">
      <c r="B55" s="1">
        <v>172</v>
      </c>
      <c r="C55" s="1">
        <v>3</v>
      </c>
      <c r="D55" s="1">
        <v>59</v>
      </c>
      <c r="E55" s="1">
        <v>3</v>
      </c>
      <c r="F55" s="1">
        <v>59</v>
      </c>
    </row>
    <row r="56" spans="2:6" x14ac:dyDescent="0.25">
      <c r="B56" s="1">
        <v>173</v>
      </c>
      <c r="C56" s="1">
        <v>3</v>
      </c>
      <c r="D56" s="1">
        <v>62</v>
      </c>
      <c r="E56" s="1">
        <v>3</v>
      </c>
      <c r="F56" s="1">
        <v>62</v>
      </c>
    </row>
    <row r="57" spans="2:6" x14ac:dyDescent="0.25">
      <c r="B57" s="1">
        <v>174</v>
      </c>
      <c r="C57" s="1">
        <v>3</v>
      </c>
      <c r="D57" s="1">
        <v>65</v>
      </c>
      <c r="E57" s="1">
        <v>3</v>
      </c>
      <c r="F57" s="1">
        <v>65</v>
      </c>
    </row>
    <row r="58" spans="2:6" x14ac:dyDescent="0.25">
      <c r="B58" s="1">
        <v>175</v>
      </c>
      <c r="C58" s="1">
        <v>4</v>
      </c>
      <c r="D58" s="1">
        <v>69</v>
      </c>
      <c r="E58" s="1">
        <v>4</v>
      </c>
      <c r="F58" s="1">
        <v>69</v>
      </c>
    </row>
    <row r="59" spans="2:6" x14ac:dyDescent="0.25">
      <c r="B59" s="1">
        <v>176</v>
      </c>
      <c r="C59" s="1">
        <v>4</v>
      </c>
      <c r="D59" s="1">
        <v>73</v>
      </c>
      <c r="E59" s="1">
        <v>4</v>
      </c>
      <c r="F59" s="1">
        <v>73</v>
      </c>
    </row>
    <row r="60" spans="2:6" x14ac:dyDescent="0.25">
      <c r="B60" s="1">
        <v>177</v>
      </c>
      <c r="C60" s="1">
        <v>4</v>
      </c>
      <c r="D60" s="1">
        <v>77</v>
      </c>
      <c r="E60" s="1">
        <v>4</v>
      </c>
      <c r="F60" s="1">
        <v>77</v>
      </c>
    </row>
    <row r="61" spans="2:6" x14ac:dyDescent="0.25">
      <c r="B61" s="1">
        <v>178</v>
      </c>
      <c r="C61" s="1">
        <v>3</v>
      </c>
      <c r="D61" s="1">
        <v>80</v>
      </c>
      <c r="E61" s="1">
        <v>3</v>
      </c>
      <c r="F61" s="1">
        <v>80</v>
      </c>
    </row>
    <row r="62" spans="2:6" x14ac:dyDescent="0.25">
      <c r="B62" s="1">
        <v>179</v>
      </c>
      <c r="C62" s="1">
        <v>2</v>
      </c>
      <c r="D62" s="1">
        <v>82</v>
      </c>
      <c r="E62" s="1">
        <f>2/100*100</f>
        <v>2</v>
      </c>
      <c r="F62" s="1">
        <v>82</v>
      </c>
    </row>
    <row r="63" spans="2:6" x14ac:dyDescent="0.25">
      <c r="B63" s="1">
        <v>180</v>
      </c>
      <c r="C63" s="1">
        <v>4</v>
      </c>
      <c r="D63" s="1">
        <v>86</v>
      </c>
      <c r="E63" s="1">
        <v>4</v>
      </c>
      <c r="F63" s="1">
        <v>86</v>
      </c>
    </row>
    <row r="64" spans="2:6" x14ac:dyDescent="0.25">
      <c r="B64" s="1">
        <v>181</v>
      </c>
      <c r="C64" s="1">
        <v>3</v>
      </c>
      <c r="D64" s="1">
        <v>89</v>
      </c>
      <c r="E64" s="1">
        <v>3</v>
      </c>
      <c r="F64" s="1">
        <v>89</v>
      </c>
    </row>
    <row r="65" spans="2:6" x14ac:dyDescent="0.25">
      <c r="B65" s="1">
        <v>182</v>
      </c>
      <c r="C65" s="1">
        <v>3</v>
      </c>
      <c r="D65" s="1">
        <v>92</v>
      </c>
      <c r="E65" s="1">
        <v>3</v>
      </c>
      <c r="F65" s="1">
        <v>92</v>
      </c>
    </row>
    <row r="66" spans="2:6" x14ac:dyDescent="0.25">
      <c r="B66" s="1">
        <v>183</v>
      </c>
      <c r="C66" s="1">
        <v>1</v>
      </c>
      <c r="D66" s="1">
        <v>93</v>
      </c>
      <c r="E66" s="1">
        <f>1/100*100</f>
        <v>1</v>
      </c>
      <c r="F66" s="1">
        <v>93</v>
      </c>
    </row>
    <row r="67" spans="2:6" x14ac:dyDescent="0.25">
      <c r="B67" s="1">
        <v>184</v>
      </c>
      <c r="C67" s="1">
        <v>1</v>
      </c>
      <c r="D67" s="1">
        <v>94</v>
      </c>
      <c r="E67" s="1">
        <f>1/100*100</f>
        <v>1</v>
      </c>
      <c r="F67" s="1">
        <v>94</v>
      </c>
    </row>
    <row r="68" spans="2:6" x14ac:dyDescent="0.25">
      <c r="B68" s="1">
        <v>185</v>
      </c>
      <c r="C68" s="1">
        <v>1</v>
      </c>
      <c r="D68" s="1">
        <v>95</v>
      </c>
      <c r="E68" s="1">
        <f>1/100*100</f>
        <v>1</v>
      </c>
      <c r="F68" s="1">
        <v>95</v>
      </c>
    </row>
    <row r="69" spans="2:6" x14ac:dyDescent="0.25">
      <c r="B69" s="1">
        <v>186</v>
      </c>
      <c r="C69" s="1">
        <v>1</v>
      </c>
      <c r="D69" s="1">
        <v>96</v>
      </c>
      <c r="E69" s="1">
        <f>1/100*100</f>
        <v>1</v>
      </c>
      <c r="F69" s="1">
        <v>96</v>
      </c>
    </row>
    <row r="70" spans="2:6" x14ac:dyDescent="0.25">
      <c r="B70" s="1">
        <v>187</v>
      </c>
      <c r="C70" s="1">
        <v>1</v>
      </c>
      <c r="D70" s="1">
        <v>97</v>
      </c>
      <c r="E70" s="1">
        <f>1/100*100</f>
        <v>1</v>
      </c>
      <c r="F70" s="1">
        <v>97</v>
      </c>
    </row>
    <row r="71" spans="2:6" x14ac:dyDescent="0.25">
      <c r="B71" s="1">
        <v>188</v>
      </c>
      <c r="C71" s="1">
        <v>1</v>
      </c>
      <c r="D71" s="1">
        <v>98</v>
      </c>
      <c r="E71" s="1">
        <f>1/100*100</f>
        <v>1</v>
      </c>
      <c r="F71" s="1">
        <v>98</v>
      </c>
    </row>
    <row r="72" spans="2:6" x14ac:dyDescent="0.25">
      <c r="B72" s="1">
        <v>190</v>
      </c>
      <c r="C72" s="1">
        <v>2</v>
      </c>
      <c r="D72" s="1">
        <v>100</v>
      </c>
      <c r="E72" s="1">
        <f>2/100*100</f>
        <v>2</v>
      </c>
      <c r="F72" s="1">
        <v>100</v>
      </c>
    </row>
    <row r="73" spans="2:6" x14ac:dyDescent="0.25">
      <c r="B73" s="1" t="s">
        <v>5</v>
      </c>
      <c r="C73" s="1">
        <f>SUM(C37:C72)</f>
        <v>100</v>
      </c>
      <c r="D73" s="3"/>
      <c r="E73" s="1">
        <f>SUM(E37:E72)</f>
        <v>100</v>
      </c>
      <c r="F73" s="4"/>
    </row>
    <row r="74" spans="2:6" x14ac:dyDescent="0.25">
      <c r="B74" s="1" t="s">
        <v>15</v>
      </c>
      <c r="C74" s="1">
        <f>((151)+(152)+(154)+(155)+(158)+(159*2)+(160)+(161*3)+(162)+(163*3)+(164)+(165*3)+(166*4)+(167*5)+(168*10)+(169*7)+(170*7)+(171*4)+(172*3)+(173*3)+(174*3)+(175*4)+(176*4)+(177*4)+(178*3)+(179*2)+(180*4)+(181*3)+(182*3)+(183)+(184)+(185)+(186)+(187)+(188)+(190*2))/100</f>
        <v>171.4</v>
      </c>
    </row>
    <row r="75" spans="2:6" x14ac:dyDescent="0.25">
      <c r="B75" s="1" t="s">
        <v>13</v>
      </c>
      <c r="C75" s="1">
        <v>169</v>
      </c>
    </row>
    <row r="76" spans="2:6" x14ac:dyDescent="0.25">
      <c r="B76" s="1" t="s">
        <v>14</v>
      </c>
      <c r="C76" s="1">
        <v>168</v>
      </c>
    </row>
  </sheetData>
  <mergeCells count="1">
    <mergeCell ref="C33:E33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E5 E42 E4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LAB-48</dc:creator>
  <cp:lastModifiedBy>LAB-48</cp:lastModifiedBy>
  <dcterms:created xsi:type="dcterms:W3CDTF">2026-02-19T22:28:42Z</dcterms:created>
  <dcterms:modified xsi:type="dcterms:W3CDTF">2026-02-20T00:00:53Z</dcterms:modified>
</cp:coreProperties>
</file>